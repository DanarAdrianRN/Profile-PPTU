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Ringkasan" sheetId="1" r:id="rId4"/>
    <sheet name="Test Cases" sheetId="2" r:id="rId5"/>
    <sheet name="Defect Log" sheetId="3" r:id="rId6"/>
    <sheet name="Test Data" sheetId="4" r:id="rId7"/>
  </sheets>
  <definedNames>
    <definedName name="_xlnm._FilterDatabase" localSheetId="1" hidden="1">'Test Cases'!$A$1:$M$50</definedName>
    <definedName name="_xlnm._FilterDatabase" localSheetId="2" hidden="1">'Defect Log'!$A$1:$L$2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<sst xmlns="http://schemas.openxmlformats.org/spreadsheetml/2006/main" uniqueCount="306">
  <si>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QA TEST TRACKER — Profile PPTU</t>
  </si>
  <si>
    <t>Tanggal dibuat</t>
  </si>
  <si>
    <t>2026-08-14</t>
  </si>
  <si>
    <t>Total kasus</t>
  </si>
  <si>
    <t>Blocked test environment</t>
  </si>
  <si>
    <t>Belum dijalankan manual</t>
  </si>
  <si>
    <t>Catatan</t>
  </si>
  <si>
    <t>Test fitur otomatis tersedia, tetapi eksekusinya terblokir migration SQLite yang memakai MODIFY. Semua test manual perlu bukti eksekusi tester.</t>
  </si>
  <si>
    <t>ID</t>
  </si>
  <si>
    <t>Modul</t>
  </si>
  <si>
    <t>Skenario</t>
  </si>
  <si>
    <t>Tipe</t>
  </si>
  <si>
    <t>Prasyarat</t>
  </si>
  <si>
    <t>Langkah Uji</t>
  </si>
  <si>
    <t>Hasil Diharapkan</t>
  </si>
  <si>
    <t>Status</t>
  </si>
  <si>
    <t>Bukti / Referensi</t>
  </si>
  <si>
    <t>Actual Result</t>
  </si>
  <si>
    <t>Tester</t>
  </si>
  <si>
    <t>Tanggal Eksekusi</t>
  </si>
  <si>
    <t>Defect ID</t>
  </si>
  <si>
    <t>AUTH-01</t>
  </si>
  <si>
    <t>Autentikasi</t>
  </si>
  <si>
    <t>Login admin valid</t>
  </si>
  <si>
    <t>Positif</t>
  </si>
  <si>
    <t>Admin aktif</t>
  </si>
  <si>
    <t>Masuk dengan username/email dan password benar</t>
  </si>
  <si>
    <t>Dialihkan ke dashboard; sesi dan role tersimpan</t>
  </si>
  <si>
    <t>PASS (Automated)</t>
  </si>
  <si>
    <t>tests/Feature/AdminLoginTest.php</t>
  </si>
  <si>
    <t>AUTH-02</t>
  </si>
  <si>
    <t>Login password salah</t>
  </si>
  <si>
    <t>Negatif</t>
  </si>
  <si>
    <t>Admin terdaftar</t>
  </si>
  <si>
    <t>Masuk dengan password salah</t>
  </si>
  <si>
    <t>Tetap di login dan pesan kesalahan tampil</t>
  </si>
  <si>
    <t>AUTH-03</t>
  </si>
  <si>
    <t>Logout</t>
  </si>
  <si>
    <t>Admin login</t>
  </si>
  <si>
    <t>Klik logout</t>
  </si>
  <si>
    <t>Sesi dihapus dan kembali ke login</t>
  </si>
  <si>
    <t>AUTH-04</t>
  </si>
  <si>
    <t>Akses halaman admin tanpa sesi</t>
  </si>
  <si>
    <t>Tidak login</t>
  </si>
  <si>
    <t>Buka URL admin terlindungi</t>
  </si>
  <si>
    <t>Dialihkan ke halaman login</t>
  </si>
  <si>
    <t>Not Run (Manual)</t>
  </si>
  <si>
    <t>AUTH-05</t>
  </si>
  <si>
    <t>Otorisasi role</t>
  </si>
  <si>
    <t>Login role administrasi/media</t>
  </si>
  <si>
    <t>Buka modul milik role lain</t>
  </si>
  <si>
    <t>Ditolak dan kembali ke dashboard dengan pesan akses</t>
  </si>
  <si>
    <t>AUTH-06</t>
  </si>
  <si>
    <t>Lupa/reset password</t>
  </si>
  <si>
    <t>Email admin valid</t>
  </si>
  <si>
    <t>Kirim permintaan reset dan gunakan tautan</t>
  </si>
  <si>
    <t>Password/sesi diperbarui sesuai alur</t>
  </si>
  <si>
    <t>AUTH-07</t>
  </si>
  <si>
    <t>Ganti password profil</t>
  </si>
  <si>
    <t>Masukkan password lama salah atau konfirmasi berbeda</t>
  </si>
  <si>
    <t>Validasi muncul; password tidak berubah</t>
  </si>
  <si>
    <t>MED-01</t>
  </si>
  <si>
    <t>Berita</t>
  </si>
  <si>
    <t>Tambah berita publish</t>
  </si>
  <si>
    <t>Login media</t>
  </si>
  <si>
    <t>Isi seluruh wajib, thumbnail JPG/PNG/WEBP &lt;= 7.5MB</t>
  </si>
  <si>
    <t>Berita tersimpan, slug unik, tampil landing page</t>
  </si>
  <si>
    <t>MED-02</t>
  </si>
  <si>
    <t>Tambah berita tanpa thumbnail</t>
  </si>
  <si>
    <t>Kirim form tanpa thumbnail</t>
  </si>
  <si>
    <t>Validasi tampil dan data tidak tersimpan</t>
  </si>
  <si>
    <t>MED-03</t>
  </si>
  <si>
    <t>Upload detail berita format/ukuran tak valid</t>
  </si>
  <si>
    <t>Pilih file non-gambar atau &gt; 7.5MB</t>
  </si>
  <si>
    <t>Validasi tampil; tidak ada file/data baru</t>
  </si>
  <si>
    <t>MED-04</t>
  </si>
  <si>
    <t>Edit teks dan thumbnail</t>
  </si>
  <si>
    <t>Berita ada</t>
  </si>
  <si>
    <t>Ubah judul/isi dan thumbnail</t>
  </si>
  <si>
    <t>Data diperbarui; thumbnail lama terhapus dari storage</t>
  </si>
  <si>
    <t>MED-05</t>
  </si>
  <si>
    <t>Hapus gambar detail 1</t>
  </si>
  <si>
    <t>Berita memiliki 2 gambar detail</t>
  </si>
  <si>
    <t>Tandai detail 1 lalu simpan</t>
  </si>
  <si>
    <t>Kolom detail 1 null dan file detail 1 terhapus; detail 2 tetap ada</t>
  </si>
  <si>
    <t>Blocked (Test Env)</t>
  </si>
  <si>
    <t>tests/Feature/AdminMediaDeletionTest.php</t>
  </si>
  <si>
    <t>MED-06</t>
  </si>
  <si>
    <t>Hapus gambar detail 2</t>
  </si>
  <si>
    <t>Tandai detail 2 lalu simpan</t>
  </si>
  <si>
    <t>Kolom detail 2 null dan file detail 2 terhapus; detail 1 tetap ada</t>
  </si>
  <si>
    <t>MED-07</t>
  </si>
  <si>
    <t>Batalkan penghapusan detail</t>
  </si>
  <si>
    <t>Berita memiliki gambar detail</t>
  </si>
  <si>
    <t>Klik hapus lalu klik lagi sebelum simpan</t>
  </si>
  <si>
    <t>Tanda hapus batal; gambar tidak berubah</t>
  </si>
  <si>
    <t>MED-08</t>
  </si>
  <si>
    <t>Hapus detail dan unggah pengganti</t>
  </si>
  <si>
    <t>Tandai hapus lalu unggah file baru pada slot sama</t>
  </si>
  <si>
    <t>File baru tersimpan dan menjadi gambar aktif</t>
  </si>
  <si>
    <t>MED-09</t>
  </si>
  <si>
    <t>Hapus berita</t>
  </si>
  <si>
    <t>Berita dengan seluruh gambar</t>
  </si>
  <si>
    <t>Konfirmasi hapus berita</t>
  </si>
  <si>
    <t>Record serta thumbnail/detail file terhapus</t>
  </si>
  <si>
    <t>MED-10</t>
  </si>
  <si>
    <t>Pencarian/filter/paginasi berita</t>
  </si>
  <si>
    <t>Minimal 2 kategori/status</t>
  </si>
  <si>
    <t>Gunakan pencarian dan semua filter</t>
  </si>
  <si>
    <t>Hanya baris sesuai kriteria; pagination konsisten</t>
  </si>
  <si>
    <t>MED-11</t>
  </si>
  <si>
    <t>Slug duplikat</t>
  </si>
  <si>
    <t>Judul/slug sudah ada</t>
  </si>
  <si>
    <t>Tambah/edit dengan slug sama</t>
  </si>
  <si>
    <t>Slug tersimpan unik tanpa menimpa berita lain</t>
  </si>
  <si>
    <t>GAL-01</t>
  </si>
  <si>
    <t>Galeri</t>
  </si>
  <si>
    <t>Tambah galeri dan multi foto</t>
  </si>
  <si>
    <t>Isi wajib dan upload beberapa foto valid</t>
  </si>
  <si>
    <t>Galeri/foto tersimpan, jumlah foto benar</t>
  </si>
  <si>
    <t>GAL-02</t>
  </si>
  <si>
    <t>Tambah galeri tanpa thumbnail</t>
  </si>
  <si>
    <t>Kirim tanpa thumbnail</t>
  </si>
  <si>
    <t>Validasi tampil; galeri tidak tersimpan</t>
  </si>
  <si>
    <t>GAL-03</t>
  </si>
  <si>
    <t>Edit metadata dan tambah foto</t>
  </si>
  <si>
    <t>Galeri ada</t>
  </si>
  <si>
    <t>Ubah judul/tanggal/status dan upload foto</t>
  </si>
  <si>
    <t>Metadata berubah dan foto baru bertambah</t>
  </si>
  <si>
    <t>GAL-04</t>
  </si>
  <si>
    <t>Hapus satu foto terpilih</t>
  </si>
  <si>
    <t>Galeri dengan &gt;=2 foto</t>
  </si>
  <si>
    <t>Tandai satu foto lalu simpan</t>
  </si>
  <si>
    <t>Record/file foto dipilih terhapus; foto lain tetap ada</t>
  </si>
  <si>
    <t>GAL-05</t>
  </si>
  <si>
    <t>Toggle batal hapus foto</t>
  </si>
  <si>
    <t>Klik hapus foto dua kali lalu simpan</t>
  </si>
  <si>
    <t>Foto tidak terhapus</t>
  </si>
  <si>
    <t>GAL-06</t>
  </si>
  <si>
    <t>ID foto galeri lain di request</t>
  </si>
  <si>
    <t>Dua galeri dengan foto</t>
  </si>
  <si>
    <t>Kirim ID foto galeri lain pada hapus_foto</t>
  </si>
  <si>
    <t>Foto milik galeri lain tetap utuh</t>
  </si>
  <si>
    <t>GAL-07</t>
  </si>
  <si>
    <t>Hapus galeri</t>
  </si>
  <si>
    <t>Galeri dengan thumbnail/foto</t>
  </si>
  <si>
    <t>Konfirmasi hapus galeri</t>
  </si>
  <si>
    <t>Record, relasi foto, thumbnail dan file foto terhapus</t>
  </si>
  <si>
    <t>GAL-08</t>
  </si>
  <si>
    <t>Filter dan pencarian</t>
  </si>
  <si>
    <t>Data beragam</t>
  </si>
  <si>
    <t>Cari judul/deskripsi dan filter status</t>
  </si>
  <si>
    <t>Kartu hasil sesuai dan query tetap saat pindah halaman</t>
  </si>
  <si>
    <t>PUB-01</t>
  </si>
  <si>
    <t>Landing</t>
  </si>
  <si>
    <t>Daftar berita publish</t>
  </si>
  <si>
    <t>Ada publish/draft</t>
  </si>
  <si>
    <t>Buka landing berita</t>
  </si>
  <si>
    <t>Hanya berita Publish tampil</t>
  </si>
  <si>
    <t>PUB-02</t>
  </si>
  <si>
    <t>Detail berita invalid</t>
  </si>
  <si>
    <t>Slug tidak ada</t>
  </si>
  <si>
    <t>Buka URL detail slug tidak ada</t>
  </si>
  <si>
    <t>404/halaman tidak ditemukan tanpa error aplikasi</t>
  </si>
  <si>
    <t>PUB-03</t>
  </si>
  <si>
    <t>Galeri publik</t>
  </si>
  <si>
    <t>Ada galeri publish/draft</t>
  </si>
  <si>
    <t>Buka galeri landing</t>
  </si>
  <si>
    <t>Hanya galeri Publish dan gambar valid tampil</t>
  </si>
  <si>
    <t>PUB-04</t>
  </si>
  <si>
    <t>Profil/kegiatan/pendidikan</t>
  </si>
  <si>
    <t>Tidak perlu login</t>
  </si>
  <si>
    <t>Buka seluruh halaman statis</t>
  </si>
  <si>
    <t>Konten, navigasi, responsif dan tautan tampil baik</t>
  </si>
  <si>
    <t>TOUR-01</t>
  </si>
  <si>
    <t>Virtual Tour</t>
  </si>
  <si>
    <t>Tambah/edit/hapus scene</t>
  </si>
  <si>
    <t>Kelola scene dengan gambar valid</t>
  </si>
  <si>
    <t>Scene tersimpan, dapat dipilih, dan file bersih saat dihapus</t>
  </si>
  <si>
    <t>TOUR-02</t>
  </si>
  <si>
    <t>Tambah/edit/hapus hotspot</t>
  </si>
  <si>
    <t>Scene ada</t>
  </si>
  <si>
    <t>Kelola hotspot tujuan/view</t>
  </si>
  <si>
    <t>Hotspot tampil dan navigasi ke scene tujuan benar</t>
  </si>
  <si>
    <t>REG-01</t>
  </si>
  <si>
    <t>Pendaftaran</t>
  </si>
  <si>
    <t>Form pendaftaran valid</t>
  </si>
  <si>
    <t>Periode/gelombang aktif</t>
  </si>
  <si>
    <t>Isi data wajib dan kirim</t>
  </si>
  <si>
    <t>Pendaftaran, pendidikan/orang tua/dokumen dan tagihan dibuat</t>
  </si>
  <si>
    <t>REG-02</t>
  </si>
  <si>
    <t>Validasi form pendaftaran</t>
  </si>
  <si>
    <t>Halaman form</t>
  </si>
  <si>
    <t>Kirim data wajib kosong/format salah</t>
  </si>
  <si>
    <t>Pesan validasi tampil dan tidak ada data parsial</t>
  </si>
  <si>
    <t>REG-03</t>
  </si>
  <si>
    <t>Cek status</t>
  </si>
  <si>
    <t>Nomor pendaftaran valid</t>
  </si>
  <si>
    <t>Cari nomor pendaftaran</t>
  </si>
  <si>
    <t>Status dan detail pendaftar sesuai</t>
  </si>
  <si>
    <t>REG-04</t>
  </si>
  <si>
    <t>Cek status tidak ditemukan</t>
  </si>
  <si>
    <t>Nomor tidak ada</t>
  </si>
  <si>
    <t>Cari nomor acak</t>
  </si>
  <si>
    <t>Pesan tidak ditemukan tanpa bocor data lain</t>
  </si>
  <si>
    <t>REG-05</t>
  </si>
  <si>
    <t>Admin CRUD &amp; ubah status</t>
  </si>
  <si>
    <t>Login administrasi</t>
  </si>
  <si>
    <t>Tambah/edit/hapus dan ubah status</t>
  </si>
  <si>
    <t>Data/status tersimpan, daftar/preview/print konsisten</t>
  </si>
  <si>
    <t>REG-06</t>
  </si>
  <si>
    <t>Export pendaftaran</t>
  </si>
  <si>
    <t>Data tersedia</t>
  </si>
  <si>
    <t>Ekspor data dengan filter</t>
  </si>
  <si>
    <t>File terunduh dan isi sesuai filter</t>
  </si>
  <si>
    <t>PAY-01</t>
  </si>
  <si>
    <t>Master Pembayaran</t>
  </si>
  <si>
    <t>CRUD master pembayaran</t>
  </si>
  <si>
    <t>Tambah/edit/hapus master pembayaran</t>
  </si>
  <si>
    <t>Data tersimpan dan dipakai oleh flow pembayaran</t>
  </si>
  <si>
    <t>PAY-02</t>
  </si>
  <si>
    <t>Pembayaran</t>
  </si>
  <si>
    <t>Pilih metode dan bayar pendaftaran</t>
  </si>
  <si>
    <t>Tagihan valid</t>
  </si>
  <si>
    <t>Pilih metode lalu selesaikan sandbox payment</t>
  </si>
  <si>
    <t>Transaksi/status/tagihan berubah tepat dan halaman sukses tampil</t>
  </si>
  <si>
    <t>PAY-03</t>
  </si>
  <si>
    <t>Callback signature/status invalid</t>
  </si>
  <si>
    <t>Endpoint callback</t>
  </si>
  <si>
    <t>Kirim signature salah/status tak dikenal</t>
  </si>
  <si>
    <t>Ditolak; transaksi tidak berubah</t>
  </si>
  <si>
    <t>PAY-04</t>
  </si>
  <si>
    <t>Daftar ulang</t>
  </si>
  <si>
    <t>Pendaftar memenuhi syarat</t>
  </si>
  <si>
    <t>Buka daftar ulang dan lakukan pembayaran</t>
  </si>
  <si>
    <t>Tagihan/transaksi daftar ulang tercatat benar</t>
  </si>
  <si>
    <t>PAY-05</t>
  </si>
  <si>
    <t>Catat bayar manual</t>
  </si>
  <si>
    <t>Tagihan aktif</t>
  </si>
  <si>
    <t>Catat pembayaran dari admin</t>
  </si>
  <si>
    <t>Nominal/status/riwayat/struk konsisten</t>
  </si>
  <si>
    <t>PAY-06</t>
  </si>
  <si>
    <t>Export/cetak</t>
  </si>
  <si>
    <t>Data transaksi ada</t>
  </si>
  <si>
    <t>Ekspor riwayat dan cetak struk/tagihan</t>
  </si>
  <si>
    <t>Dokumen terunduh, nilai dan identitas benar</t>
  </si>
  <si>
    <t>ADM-01</t>
  </si>
  <si>
    <t>Master Admin</t>
  </si>
  <si>
    <t>Tambah/edit admin</t>
  </si>
  <si>
    <t>Login administrasi berwenang</t>
  </si>
  <si>
    <t>Kelola data admin dengan role</t>
  </si>
  <si>
    <t>Akun tersimpan; role membatasi menu sesuai hak</t>
  </si>
  <si>
    <t>ADM-02</t>
  </si>
  <si>
    <t>Reset password admin</t>
  </si>
  <si>
    <t>Admin tujuan valid</t>
  </si>
  <si>
    <t>Kirim reset password</t>
  </si>
  <si>
    <t>Token aman, kedaluwarsa/sekali pakai, password dapat diperbarui</t>
  </si>
  <si>
    <t>MST-01</t>
  </si>
  <si>
    <t>Master Akademik</t>
  </si>
  <si>
    <t>Gelombang/jadwal/periode CRUD</t>
  </si>
  <si>
    <t>Tambah/edit/hapus seluruh master</t>
  </si>
  <si>
    <t>Validasi tanggal/status dan relasi data berjalan benar</t>
  </si>
  <si>
    <t>MST-02</t>
  </si>
  <si>
    <t>Master Konten</t>
  </si>
  <si>
    <t>Guru dan promo CRUD</t>
  </si>
  <si>
    <t>Login sesuai role</t>
  </si>
  <si>
    <t>Tambah/edit/hapus dengan gambar valid</t>
  </si>
  <si>
    <t>Data/file tampil di landing dan terhapus bersih</t>
  </si>
  <si>
    <t>RPT-01</t>
  </si>
  <si>
    <t>Audit</t>
  </si>
  <si>
    <t>Aktivitas admin</t>
  </si>
  <si>
    <t>Ada aksi create/update/delete</t>
  </si>
  <si>
    <t>Tinjau log aktivitas</t>
  </si>
  <si>
    <t>Aktor, aksi, objek dan waktu tercatat benar</t>
  </si>
  <si>
    <t>Tanggal</t>
  </si>
  <si>
    <t>Ringkasan</t>
  </si>
  <si>
    <t>Severity</t>
  </si>
  <si>
    <t>Priority</t>
  </si>
  <si>
    <t>Langkah Reproduksi</t>
  </si>
  <si>
    <t>Expected</t>
  </si>
  <si>
    <t>Actual</t>
  </si>
  <si>
    <t>Assignee</t>
  </si>
  <si>
    <t>Retest</t>
  </si>
  <si>
    <t>Item</t>
  </si>
  <si>
    <t>Data yang Disarankan</t>
  </si>
  <si>
    <t>Keterangan</t>
  </si>
  <si>
    <t>Admin media</t>
  </si>
  <si>
    <t>role=media</t>
  </si>
  <si>
    <t>Untuk Berita, Galeri, Guru, Virtual Tour</t>
  </si>
  <si>
    <t>Admin administrasi</t>
  </si>
  <si>
    <t>role=administrasi</t>
  </si>
  <si>
    <t>Untuk pendaftaran, pembayaran, master</t>
  </si>
  <si>
    <t>Berkas gambar valid</t>
  </si>
  <si>
    <t>JPG/PNG/WEBP &lt;= 7.5 MB</t>
  </si>
  <si>
    <t>Uji upload positif</t>
  </si>
  <si>
    <t>Berkas invalid</t>
  </si>
  <si>
    <t>PDF/EXE atau gambar &gt; 7.5 MB</t>
  </si>
  <si>
    <t>Uji validasi negatif</t>
  </si>
  <si>
    <t>Data berita</t>
  </si>
  <si>
    <t>1 Draft + 1 Publish + 2 gambar detail</t>
  </si>
  <si>
    <t>Uji filter/publicasi/penghapusan</t>
  </si>
  <si>
    <t>Data galeri</t>
  </si>
  <si>
    <t>2 galeri; masing-masing &gt;=2 foto</t>
  </si>
  <si>
    <t>Uji isolasi penghapusan foto</t>
  </si>
  <si>
    <t>Sandbox Midtrans / metode tersedia</t>
  </si>
  <si>
    <t>Jangan gunakan transaksi produksi untuk uji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</si>
</sst>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2" borderId="1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:B6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 s="1" customFormat="1">
      <c r="A1" s="2" t="s">
        <v>0</v>
      </c>
      <c r="B1" s="4"/>
    </row>
    <row r="2" spans="1:2">
      <c r="A2" s="3" t="s">
        <v>1</v>
      </c>
      <c r="B2" s="3" t="s">
        <v>2</v>
      </c>
    </row>
    <row r="3" spans="1:2">
      <c r="A3" s="3" t="s">
        <v>3</v>
      </c>
      <c r="B3" s="3">
        <f>COUNTA('Test Cases'!A:A)-1</f>
        <v>49</v>
      </c>
    </row>
    <row r="4" spans="1:2">
      <c r="A4" s="3" t="s">
        <v>4</v>
      </c>
      <c r="B4" s="3">
        <f>COUNTIF('Test Cases'!H:H,"Blocked*")</f>
        <v>3</v>
      </c>
    </row>
    <row r="5" spans="1:2">
      <c r="A5" s="3" t="s">
        <v>5</v>
      </c>
      <c r="B5" s="3">
        <f>COUNTIF('Test Cases'!H:H,"Not Run*")</f>
        <v>43</v>
      </c>
    </row>
    <row r="6" spans="1:2">
      <c r="A6" s="3" t="s">
        <v>6</v>
      </c>
      <c r="B6" s="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50"/>
  <sheetViews>
    <sheetView tabSelected="0" workbookViewId="0" showGridLines="true" showRowColHeaders="1">
      <pane ySplit="1" topLeftCell="A2" activePane="bottomLeft" state="frozen"/>
      <selection pane="bottomLeft" activeCell="A1" sqref="A1:M5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32" customWidth="true" style="0"/>
    <col min="4" max="4" width="18" customWidth="true" style="0"/>
    <col min="5" max="5" width="28" customWidth="true" style="0"/>
    <col min="6" max="6" width="48" customWidth="true" style="0"/>
    <col min="7" max="7" width="52" customWidth="true" style="0"/>
    <col min="8" max="8" width="18" customWidth="true" style="0"/>
    <col min="9" max="9" width="38" customWidth="true" style="0"/>
    <col min="10" max="10" width="45" customWidth="true" style="0"/>
    <col min="11" max="11" width="18" customWidth="true" style="0"/>
    <col min="12" max="12" width="18" customWidth="true" style="0"/>
    <col min="13" max="13" width="18" customWidth="true" style="0"/>
  </cols>
  <sheetData>
    <row r="1" spans="1:13" s="1" customFormat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2" t="s">
        <v>20</v>
      </c>
    </row>
    <row r="2" spans="1:13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/>
      <c r="K2" s="3"/>
      <c r="L2" s="3"/>
      <c r="M2" s="3"/>
    </row>
    <row r="3" spans="1:13">
      <c r="A3" s="3" t="s">
        <v>30</v>
      </c>
      <c r="B3" s="3" t="s">
        <v>22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28</v>
      </c>
      <c r="I3" s="3" t="s">
        <v>29</v>
      </c>
      <c r="J3" s="3"/>
      <c r="K3" s="3"/>
      <c r="L3" s="3"/>
      <c r="M3" s="3"/>
    </row>
    <row r="4" spans="1:13">
      <c r="A4" s="3" t="s">
        <v>36</v>
      </c>
      <c r="B4" s="3" t="s">
        <v>22</v>
      </c>
      <c r="C4" s="3" t="s">
        <v>37</v>
      </c>
      <c r="D4" s="3" t="s">
        <v>24</v>
      </c>
      <c r="E4" s="3" t="s">
        <v>38</v>
      </c>
      <c r="F4" s="3" t="s">
        <v>39</v>
      </c>
      <c r="G4" s="3" t="s">
        <v>40</v>
      </c>
      <c r="H4" s="3" t="s">
        <v>28</v>
      </c>
      <c r="I4" s="3" t="s">
        <v>29</v>
      </c>
      <c r="J4" s="3"/>
      <c r="K4" s="3"/>
      <c r="L4" s="3"/>
      <c r="M4" s="3"/>
    </row>
    <row r="5" spans="1:13">
      <c r="A5" s="3" t="s">
        <v>41</v>
      </c>
      <c r="B5" s="3" t="s">
        <v>22</v>
      </c>
      <c r="C5" s="3" t="s">
        <v>42</v>
      </c>
      <c r="D5" s="3" t="s">
        <v>32</v>
      </c>
      <c r="E5" s="3" t="s">
        <v>43</v>
      </c>
      <c r="F5" s="3" t="s">
        <v>44</v>
      </c>
      <c r="G5" s="3" t="s">
        <v>45</v>
      </c>
      <c r="H5" s="3" t="s">
        <v>46</v>
      </c>
      <c r="I5" s="3"/>
      <c r="J5" s="3"/>
      <c r="K5" s="3"/>
      <c r="L5" s="3"/>
      <c r="M5" s="3"/>
    </row>
    <row r="6" spans="1:13">
      <c r="A6" s="3" t="s">
        <v>47</v>
      </c>
      <c r="B6" s="3" t="s">
        <v>22</v>
      </c>
      <c r="C6" s="3" t="s">
        <v>48</v>
      </c>
      <c r="D6" s="3" t="s">
        <v>32</v>
      </c>
      <c r="E6" s="3" t="s">
        <v>49</v>
      </c>
      <c r="F6" s="3" t="s">
        <v>50</v>
      </c>
      <c r="G6" s="3" t="s">
        <v>51</v>
      </c>
      <c r="H6" s="3" t="s">
        <v>46</v>
      </c>
      <c r="I6" s="3"/>
      <c r="J6" s="3"/>
      <c r="K6" s="3"/>
      <c r="L6" s="3"/>
      <c r="M6" s="3"/>
    </row>
    <row r="7" spans="1:13">
      <c r="A7" s="3" t="s">
        <v>52</v>
      </c>
      <c r="B7" s="3" t="s">
        <v>22</v>
      </c>
      <c r="C7" s="3" t="s">
        <v>53</v>
      </c>
      <c r="D7" s="3" t="s">
        <v>24</v>
      </c>
      <c r="E7" s="3" t="s">
        <v>54</v>
      </c>
      <c r="F7" s="3" t="s">
        <v>55</v>
      </c>
      <c r="G7" s="3" t="s">
        <v>56</v>
      </c>
      <c r="H7" s="3" t="s">
        <v>46</v>
      </c>
      <c r="I7" s="3"/>
      <c r="J7" s="3"/>
      <c r="K7" s="3"/>
      <c r="L7" s="3"/>
      <c r="M7" s="3"/>
    </row>
    <row r="8" spans="1:13">
      <c r="A8" s="3" t="s">
        <v>57</v>
      </c>
      <c r="B8" s="3" t="s">
        <v>22</v>
      </c>
      <c r="C8" s="3" t="s">
        <v>58</v>
      </c>
      <c r="D8" s="3" t="s">
        <v>32</v>
      </c>
      <c r="E8" s="3" t="s">
        <v>38</v>
      </c>
      <c r="F8" s="3" t="s">
        <v>59</v>
      </c>
      <c r="G8" s="3" t="s">
        <v>60</v>
      </c>
      <c r="H8" s="3" t="s">
        <v>46</v>
      </c>
      <c r="I8" s="3"/>
      <c r="J8" s="3"/>
      <c r="K8" s="3"/>
      <c r="L8" s="3"/>
      <c r="M8" s="3"/>
    </row>
    <row r="9" spans="1:13">
      <c r="A9" s="3" t="s">
        <v>61</v>
      </c>
      <c r="B9" s="3" t="s">
        <v>62</v>
      </c>
      <c r="C9" s="3" t="s">
        <v>63</v>
      </c>
      <c r="D9" s="3" t="s">
        <v>24</v>
      </c>
      <c r="E9" s="3" t="s">
        <v>64</v>
      </c>
      <c r="F9" s="3" t="s">
        <v>65</v>
      </c>
      <c r="G9" s="3" t="s">
        <v>66</v>
      </c>
      <c r="H9" s="3" t="s">
        <v>46</v>
      </c>
      <c r="I9" s="3"/>
      <c r="J9" s="3"/>
      <c r="K9" s="3"/>
      <c r="L9" s="3"/>
      <c r="M9" s="3"/>
    </row>
    <row r="10" spans="1:13">
      <c r="A10" s="3" t="s">
        <v>67</v>
      </c>
      <c r="B10" s="3" t="s">
        <v>62</v>
      </c>
      <c r="C10" s="3" t="s">
        <v>68</v>
      </c>
      <c r="D10" s="3" t="s">
        <v>32</v>
      </c>
      <c r="E10" s="3" t="s">
        <v>64</v>
      </c>
      <c r="F10" s="3" t="s">
        <v>69</v>
      </c>
      <c r="G10" s="3" t="s">
        <v>70</v>
      </c>
      <c r="H10" s="3" t="s">
        <v>46</v>
      </c>
      <c r="I10" s="3"/>
      <c r="J10" s="3"/>
      <c r="K10" s="3"/>
      <c r="L10" s="3"/>
      <c r="M10" s="3"/>
    </row>
    <row r="11" spans="1:13">
      <c r="A11" s="3" t="s">
        <v>71</v>
      </c>
      <c r="B11" s="3" t="s">
        <v>62</v>
      </c>
      <c r="C11" s="3" t="s">
        <v>72</v>
      </c>
      <c r="D11" s="3" t="s">
        <v>32</v>
      </c>
      <c r="E11" s="3" t="s">
        <v>64</v>
      </c>
      <c r="F11" s="3" t="s">
        <v>73</v>
      </c>
      <c r="G11" s="3" t="s">
        <v>74</v>
      </c>
      <c r="H11" s="3" t="s">
        <v>46</v>
      </c>
      <c r="I11" s="3"/>
      <c r="J11" s="3"/>
      <c r="K11" s="3"/>
      <c r="L11" s="3"/>
      <c r="M11" s="3"/>
    </row>
    <row r="12" spans="1:13">
      <c r="A12" s="3" t="s">
        <v>75</v>
      </c>
      <c r="B12" s="3" t="s">
        <v>62</v>
      </c>
      <c r="C12" s="3" t="s">
        <v>76</v>
      </c>
      <c r="D12" s="3" t="s">
        <v>24</v>
      </c>
      <c r="E12" s="3" t="s">
        <v>77</v>
      </c>
      <c r="F12" s="3" t="s">
        <v>78</v>
      </c>
      <c r="G12" s="3" t="s">
        <v>79</v>
      </c>
      <c r="H12" s="3" t="s">
        <v>46</v>
      </c>
      <c r="I12" s="3"/>
      <c r="J12" s="3"/>
      <c r="K12" s="3"/>
      <c r="L12" s="3"/>
      <c r="M12" s="3"/>
    </row>
    <row r="13" spans="1:13">
      <c r="A13" s="3" t="s">
        <v>80</v>
      </c>
      <c r="B13" s="3" t="s">
        <v>62</v>
      </c>
      <c r="C13" s="3" t="s">
        <v>81</v>
      </c>
      <c r="D13" s="3" t="s">
        <v>24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86</v>
      </c>
      <c r="J13" s="3"/>
      <c r="K13" s="3"/>
      <c r="L13" s="3"/>
      <c r="M13" s="3"/>
    </row>
    <row r="14" spans="1:13">
      <c r="A14" s="3" t="s">
        <v>87</v>
      </c>
      <c r="B14" s="3" t="s">
        <v>62</v>
      </c>
      <c r="C14" s="3" t="s">
        <v>88</v>
      </c>
      <c r="D14" s="3" t="s">
        <v>24</v>
      </c>
      <c r="E14" s="3" t="s">
        <v>82</v>
      </c>
      <c r="F14" s="3" t="s">
        <v>89</v>
      </c>
      <c r="G14" s="3" t="s">
        <v>90</v>
      </c>
      <c r="H14" s="3" t="s">
        <v>46</v>
      </c>
      <c r="I14" s="3"/>
      <c r="J14" s="3"/>
      <c r="K14" s="3"/>
      <c r="L14" s="3"/>
      <c r="M14" s="3"/>
    </row>
    <row r="15" spans="1:13">
      <c r="A15" s="3" t="s">
        <v>91</v>
      </c>
      <c r="B15" s="3" t="s">
        <v>62</v>
      </c>
      <c r="C15" s="3" t="s">
        <v>92</v>
      </c>
      <c r="D15" s="3" t="s">
        <v>32</v>
      </c>
      <c r="E15" s="3" t="s">
        <v>93</v>
      </c>
      <c r="F15" s="3" t="s">
        <v>94</v>
      </c>
      <c r="G15" s="3" t="s">
        <v>95</v>
      </c>
      <c r="H15" s="3" t="s">
        <v>46</v>
      </c>
      <c r="I15" s="3"/>
      <c r="J15" s="3"/>
      <c r="K15" s="3"/>
      <c r="L15" s="3"/>
      <c r="M15" s="3"/>
    </row>
    <row r="16" spans="1:13">
      <c r="A16" s="3" t="s">
        <v>96</v>
      </c>
      <c r="B16" s="3" t="s">
        <v>62</v>
      </c>
      <c r="C16" s="3" t="s">
        <v>97</v>
      </c>
      <c r="D16" s="3" t="s">
        <v>24</v>
      </c>
      <c r="E16" s="3" t="s">
        <v>93</v>
      </c>
      <c r="F16" s="3" t="s">
        <v>98</v>
      </c>
      <c r="G16" s="3" t="s">
        <v>99</v>
      </c>
      <c r="H16" s="3" t="s">
        <v>46</v>
      </c>
      <c r="I16" s="3"/>
      <c r="J16" s="3"/>
      <c r="K16" s="3"/>
      <c r="L16" s="3"/>
      <c r="M16" s="3"/>
    </row>
    <row r="17" spans="1:13">
      <c r="A17" s="3" t="s">
        <v>100</v>
      </c>
      <c r="B17" s="3" t="s">
        <v>62</v>
      </c>
      <c r="C17" s="3" t="s">
        <v>101</v>
      </c>
      <c r="D17" s="3" t="s">
        <v>24</v>
      </c>
      <c r="E17" s="3" t="s">
        <v>102</v>
      </c>
      <c r="F17" s="3" t="s">
        <v>103</v>
      </c>
      <c r="G17" s="3" t="s">
        <v>104</v>
      </c>
      <c r="H17" s="3" t="s">
        <v>46</v>
      </c>
      <c r="I17" s="3"/>
      <c r="J17" s="3"/>
      <c r="K17" s="3"/>
      <c r="L17" s="3"/>
      <c r="M17" s="3"/>
    </row>
    <row r="18" spans="1:13">
      <c r="A18" s="3" t="s">
        <v>105</v>
      </c>
      <c r="B18" s="3" t="s">
        <v>62</v>
      </c>
      <c r="C18" s="3" t="s">
        <v>106</v>
      </c>
      <c r="D18" s="3" t="s">
        <v>24</v>
      </c>
      <c r="E18" s="3" t="s">
        <v>107</v>
      </c>
      <c r="F18" s="3" t="s">
        <v>108</v>
      </c>
      <c r="G18" s="3" t="s">
        <v>109</v>
      </c>
      <c r="H18" s="3" t="s">
        <v>46</v>
      </c>
      <c r="I18" s="3"/>
      <c r="J18" s="3"/>
      <c r="K18" s="3"/>
      <c r="L18" s="3"/>
      <c r="M18" s="3"/>
    </row>
    <row r="19" spans="1:13">
      <c r="A19" s="3" t="s">
        <v>110</v>
      </c>
      <c r="B19" s="3" t="s">
        <v>62</v>
      </c>
      <c r="C19" s="3" t="s">
        <v>111</v>
      </c>
      <c r="D19" s="3" t="s">
        <v>32</v>
      </c>
      <c r="E19" s="3" t="s">
        <v>112</v>
      </c>
      <c r="F19" s="3" t="s">
        <v>113</v>
      </c>
      <c r="G19" s="3" t="s">
        <v>114</v>
      </c>
      <c r="H19" s="3" t="s">
        <v>46</v>
      </c>
      <c r="I19" s="3"/>
      <c r="J19" s="3"/>
      <c r="K19" s="3"/>
      <c r="L19" s="3"/>
      <c r="M19" s="3"/>
    </row>
    <row r="20" spans="1:13">
      <c r="A20" s="3" t="s">
        <v>115</v>
      </c>
      <c r="B20" s="3" t="s">
        <v>116</v>
      </c>
      <c r="C20" s="3" t="s">
        <v>117</v>
      </c>
      <c r="D20" s="3" t="s">
        <v>24</v>
      </c>
      <c r="E20" s="3" t="s">
        <v>64</v>
      </c>
      <c r="F20" s="3" t="s">
        <v>118</v>
      </c>
      <c r="G20" s="3" t="s">
        <v>119</v>
      </c>
      <c r="H20" s="3" t="s">
        <v>46</v>
      </c>
      <c r="I20" s="3"/>
      <c r="J20" s="3"/>
      <c r="K20" s="3"/>
      <c r="L20" s="3"/>
      <c r="M20" s="3"/>
    </row>
    <row r="21" spans="1:13">
      <c r="A21" s="3" t="s">
        <v>120</v>
      </c>
      <c r="B21" s="3" t="s">
        <v>116</v>
      </c>
      <c r="C21" s="3" t="s">
        <v>121</v>
      </c>
      <c r="D21" s="3" t="s">
        <v>32</v>
      </c>
      <c r="E21" s="3" t="s">
        <v>64</v>
      </c>
      <c r="F21" s="3" t="s">
        <v>122</v>
      </c>
      <c r="G21" s="3" t="s">
        <v>123</v>
      </c>
      <c r="H21" s="3" t="s">
        <v>46</v>
      </c>
      <c r="I21" s="3"/>
      <c r="J21" s="3"/>
      <c r="K21" s="3"/>
      <c r="L21" s="3"/>
      <c r="M21" s="3"/>
    </row>
    <row r="22" spans="1:13">
      <c r="A22" s="3" t="s">
        <v>124</v>
      </c>
      <c r="B22" s="3" t="s">
        <v>116</v>
      </c>
      <c r="C22" s="3" t="s">
        <v>125</v>
      </c>
      <c r="D22" s="3" t="s">
        <v>24</v>
      </c>
      <c r="E22" s="3" t="s">
        <v>126</v>
      </c>
      <c r="F22" s="3" t="s">
        <v>127</v>
      </c>
      <c r="G22" s="3" t="s">
        <v>128</v>
      </c>
      <c r="H22" s="3" t="s">
        <v>46</v>
      </c>
      <c r="I22" s="3"/>
      <c r="J22" s="3"/>
      <c r="K22" s="3"/>
      <c r="L22" s="3"/>
      <c r="M22" s="3"/>
    </row>
    <row r="23" spans="1:13">
      <c r="A23" s="3" t="s">
        <v>129</v>
      </c>
      <c r="B23" s="3" t="s">
        <v>116</v>
      </c>
      <c r="C23" s="3" t="s">
        <v>130</v>
      </c>
      <c r="D23" s="3" t="s">
        <v>24</v>
      </c>
      <c r="E23" s="3" t="s">
        <v>131</v>
      </c>
      <c r="F23" s="3" t="s">
        <v>132</v>
      </c>
      <c r="G23" s="3" t="s">
        <v>133</v>
      </c>
      <c r="H23" s="3" t="s">
        <v>85</v>
      </c>
      <c r="I23" s="3" t="s">
        <v>86</v>
      </c>
      <c r="J23" s="3"/>
      <c r="K23" s="3"/>
      <c r="L23" s="3"/>
      <c r="M23" s="3"/>
    </row>
    <row r="24" spans="1:13">
      <c r="A24" s="3" t="s">
        <v>134</v>
      </c>
      <c r="B24" s="3" t="s">
        <v>116</v>
      </c>
      <c r="C24" s="3" t="s">
        <v>135</v>
      </c>
      <c r="D24" s="3" t="s">
        <v>32</v>
      </c>
      <c r="E24" s="3" t="s">
        <v>126</v>
      </c>
      <c r="F24" s="3" t="s">
        <v>136</v>
      </c>
      <c r="G24" s="3" t="s">
        <v>137</v>
      </c>
      <c r="H24" s="3" t="s">
        <v>46</v>
      </c>
      <c r="I24" s="3"/>
      <c r="J24" s="3"/>
      <c r="K24" s="3"/>
      <c r="L24" s="3"/>
      <c r="M24" s="3"/>
    </row>
    <row r="25" spans="1:13">
      <c r="A25" s="3" t="s">
        <v>138</v>
      </c>
      <c r="B25" s="3" t="s">
        <v>116</v>
      </c>
      <c r="C25" s="3" t="s">
        <v>139</v>
      </c>
      <c r="D25" s="3" t="s">
        <v>32</v>
      </c>
      <c r="E25" s="3" t="s">
        <v>140</v>
      </c>
      <c r="F25" s="3" t="s">
        <v>141</v>
      </c>
      <c r="G25" s="3" t="s">
        <v>142</v>
      </c>
      <c r="H25" s="3" t="s">
        <v>85</v>
      </c>
      <c r="I25" s="3" t="s">
        <v>86</v>
      </c>
      <c r="J25" s="3"/>
      <c r="K25" s="3"/>
      <c r="L25" s="3"/>
      <c r="M25" s="3"/>
    </row>
    <row r="26" spans="1:13">
      <c r="A26" s="3" t="s">
        <v>143</v>
      </c>
      <c r="B26" s="3" t="s">
        <v>116</v>
      </c>
      <c r="C26" s="3" t="s">
        <v>144</v>
      </c>
      <c r="D26" s="3" t="s">
        <v>24</v>
      </c>
      <c r="E26" s="3" t="s">
        <v>145</v>
      </c>
      <c r="F26" s="3" t="s">
        <v>146</v>
      </c>
      <c r="G26" s="3" t="s">
        <v>147</v>
      </c>
      <c r="H26" s="3" t="s">
        <v>46</v>
      </c>
      <c r="I26" s="3"/>
      <c r="J26" s="3"/>
      <c r="K26" s="3"/>
      <c r="L26" s="3"/>
      <c r="M26" s="3"/>
    </row>
    <row r="27" spans="1:13">
      <c r="A27" s="3" t="s">
        <v>148</v>
      </c>
      <c r="B27" s="3" t="s">
        <v>116</v>
      </c>
      <c r="C27" s="3" t="s">
        <v>149</v>
      </c>
      <c r="D27" s="3" t="s">
        <v>24</v>
      </c>
      <c r="E27" s="3" t="s">
        <v>150</v>
      </c>
      <c r="F27" s="3" t="s">
        <v>151</v>
      </c>
      <c r="G27" s="3" t="s">
        <v>152</v>
      </c>
      <c r="H27" s="3" t="s">
        <v>46</v>
      </c>
      <c r="I27" s="3"/>
      <c r="J27" s="3"/>
      <c r="K27" s="3"/>
      <c r="L27" s="3"/>
      <c r="M27" s="3"/>
    </row>
    <row r="28" spans="1:13">
      <c r="A28" s="3" t="s">
        <v>153</v>
      </c>
      <c r="B28" s="3" t="s">
        <v>154</v>
      </c>
      <c r="C28" s="3" t="s">
        <v>155</v>
      </c>
      <c r="D28" s="3" t="s">
        <v>24</v>
      </c>
      <c r="E28" s="3" t="s">
        <v>156</v>
      </c>
      <c r="F28" s="3" t="s">
        <v>157</v>
      </c>
      <c r="G28" s="3" t="s">
        <v>158</v>
      </c>
      <c r="H28" s="3" t="s">
        <v>46</v>
      </c>
      <c r="I28" s="3"/>
      <c r="J28" s="3"/>
      <c r="K28" s="3"/>
      <c r="L28" s="3"/>
      <c r="M28" s="3"/>
    </row>
    <row r="29" spans="1:13">
      <c r="A29" s="3" t="s">
        <v>159</v>
      </c>
      <c r="B29" s="3" t="s">
        <v>154</v>
      </c>
      <c r="C29" s="3" t="s">
        <v>160</v>
      </c>
      <c r="D29" s="3" t="s">
        <v>32</v>
      </c>
      <c r="E29" s="3" t="s">
        <v>161</v>
      </c>
      <c r="F29" s="3" t="s">
        <v>162</v>
      </c>
      <c r="G29" s="3" t="s">
        <v>163</v>
      </c>
      <c r="H29" s="3" t="s">
        <v>46</v>
      </c>
      <c r="I29" s="3"/>
      <c r="J29" s="3"/>
      <c r="K29" s="3"/>
      <c r="L29" s="3"/>
      <c r="M29" s="3"/>
    </row>
    <row r="30" spans="1:13">
      <c r="A30" s="3" t="s">
        <v>164</v>
      </c>
      <c r="B30" s="3" t="s">
        <v>154</v>
      </c>
      <c r="C30" s="3" t="s">
        <v>165</v>
      </c>
      <c r="D30" s="3" t="s">
        <v>24</v>
      </c>
      <c r="E30" s="3" t="s">
        <v>166</v>
      </c>
      <c r="F30" s="3" t="s">
        <v>167</v>
      </c>
      <c r="G30" s="3" t="s">
        <v>168</v>
      </c>
      <c r="H30" s="3" t="s">
        <v>46</v>
      </c>
      <c r="I30" s="3"/>
      <c r="J30" s="3"/>
      <c r="K30" s="3"/>
      <c r="L30" s="3"/>
      <c r="M30" s="3"/>
    </row>
    <row r="31" spans="1:13">
      <c r="A31" s="3" t="s">
        <v>169</v>
      </c>
      <c r="B31" s="3" t="s">
        <v>154</v>
      </c>
      <c r="C31" s="3" t="s">
        <v>170</v>
      </c>
      <c r="D31" s="3" t="s">
        <v>24</v>
      </c>
      <c r="E31" s="3" t="s">
        <v>171</v>
      </c>
      <c r="F31" s="3" t="s">
        <v>172</v>
      </c>
      <c r="G31" s="3" t="s">
        <v>173</v>
      </c>
      <c r="H31" s="3" t="s">
        <v>46</v>
      </c>
      <c r="I31" s="3"/>
      <c r="J31" s="3"/>
      <c r="K31" s="3"/>
      <c r="L31" s="3"/>
      <c r="M31" s="3"/>
    </row>
    <row r="32" spans="1:13">
      <c r="A32" s="3" t="s">
        <v>174</v>
      </c>
      <c r="B32" s="3" t="s">
        <v>175</v>
      </c>
      <c r="C32" s="3" t="s">
        <v>176</v>
      </c>
      <c r="D32" s="3" t="s">
        <v>24</v>
      </c>
      <c r="E32" s="3" t="s">
        <v>64</v>
      </c>
      <c r="F32" s="3" t="s">
        <v>177</v>
      </c>
      <c r="G32" s="3" t="s">
        <v>178</v>
      </c>
      <c r="H32" s="3" t="s">
        <v>46</v>
      </c>
      <c r="I32" s="3"/>
      <c r="J32" s="3"/>
      <c r="K32" s="3"/>
      <c r="L32" s="3"/>
      <c r="M32" s="3"/>
    </row>
    <row r="33" spans="1:13">
      <c r="A33" s="3" t="s">
        <v>179</v>
      </c>
      <c r="B33" s="3" t="s">
        <v>175</v>
      </c>
      <c r="C33" s="3" t="s">
        <v>180</v>
      </c>
      <c r="D33" s="3" t="s">
        <v>24</v>
      </c>
      <c r="E33" s="3" t="s">
        <v>181</v>
      </c>
      <c r="F33" s="3" t="s">
        <v>182</v>
      </c>
      <c r="G33" s="3" t="s">
        <v>183</v>
      </c>
      <c r="H33" s="3" t="s">
        <v>46</v>
      </c>
      <c r="I33" s="3"/>
      <c r="J33" s="3"/>
      <c r="K33" s="3"/>
      <c r="L33" s="3"/>
      <c r="M33" s="3"/>
    </row>
    <row r="34" spans="1:13">
      <c r="A34" s="3" t="s">
        <v>184</v>
      </c>
      <c r="B34" s="3" t="s">
        <v>185</v>
      </c>
      <c r="C34" s="3" t="s">
        <v>186</v>
      </c>
      <c r="D34" s="3" t="s">
        <v>24</v>
      </c>
      <c r="E34" s="3" t="s">
        <v>187</v>
      </c>
      <c r="F34" s="3" t="s">
        <v>188</v>
      </c>
      <c r="G34" s="3" t="s">
        <v>189</v>
      </c>
      <c r="H34" s="3" t="s">
        <v>46</v>
      </c>
      <c r="I34" s="3"/>
      <c r="J34" s="3"/>
      <c r="K34" s="3"/>
      <c r="L34" s="3"/>
      <c r="M34" s="3"/>
    </row>
    <row r="35" spans="1:13">
      <c r="A35" s="3" t="s">
        <v>190</v>
      </c>
      <c r="B35" s="3" t="s">
        <v>185</v>
      </c>
      <c r="C35" s="3" t="s">
        <v>191</v>
      </c>
      <c r="D35" s="3" t="s">
        <v>32</v>
      </c>
      <c r="E35" s="3" t="s">
        <v>192</v>
      </c>
      <c r="F35" s="3" t="s">
        <v>193</v>
      </c>
      <c r="G35" s="3" t="s">
        <v>194</v>
      </c>
      <c r="H35" s="3" t="s">
        <v>46</v>
      </c>
      <c r="I35" s="3"/>
      <c r="J35" s="3"/>
      <c r="K35" s="3"/>
      <c r="L35" s="3"/>
      <c r="M35" s="3"/>
    </row>
    <row r="36" spans="1:13">
      <c r="A36" s="3" t="s">
        <v>195</v>
      </c>
      <c r="B36" s="3" t="s">
        <v>185</v>
      </c>
      <c r="C36" s="3" t="s">
        <v>196</v>
      </c>
      <c r="D36" s="3" t="s">
        <v>24</v>
      </c>
      <c r="E36" s="3" t="s">
        <v>197</v>
      </c>
      <c r="F36" s="3" t="s">
        <v>198</v>
      </c>
      <c r="G36" s="3" t="s">
        <v>199</v>
      </c>
      <c r="H36" s="3" t="s">
        <v>46</v>
      </c>
      <c r="I36" s="3"/>
      <c r="J36" s="3"/>
      <c r="K36" s="3"/>
      <c r="L36" s="3"/>
      <c r="M36" s="3"/>
    </row>
    <row r="37" spans="1:13">
      <c r="A37" s="3" t="s">
        <v>200</v>
      </c>
      <c r="B37" s="3" t="s">
        <v>185</v>
      </c>
      <c r="C37" s="3" t="s">
        <v>201</v>
      </c>
      <c r="D37" s="3" t="s">
        <v>32</v>
      </c>
      <c r="E37" s="3" t="s">
        <v>202</v>
      </c>
      <c r="F37" s="3" t="s">
        <v>203</v>
      </c>
      <c r="G37" s="3" t="s">
        <v>204</v>
      </c>
      <c r="H37" s="3" t="s">
        <v>46</v>
      </c>
      <c r="I37" s="3"/>
      <c r="J37" s="3"/>
      <c r="K37" s="3"/>
      <c r="L37" s="3"/>
      <c r="M37" s="3"/>
    </row>
    <row r="38" spans="1:13">
      <c r="A38" s="3" t="s">
        <v>205</v>
      </c>
      <c r="B38" s="3" t="s">
        <v>185</v>
      </c>
      <c r="C38" s="3" t="s">
        <v>206</v>
      </c>
      <c r="D38" s="3" t="s">
        <v>24</v>
      </c>
      <c r="E38" s="3" t="s">
        <v>207</v>
      </c>
      <c r="F38" s="3" t="s">
        <v>208</v>
      </c>
      <c r="G38" s="3" t="s">
        <v>209</v>
      </c>
      <c r="H38" s="3" t="s">
        <v>46</v>
      </c>
      <c r="I38" s="3"/>
      <c r="J38" s="3"/>
      <c r="K38" s="3"/>
      <c r="L38" s="3"/>
      <c r="M38" s="3"/>
    </row>
    <row r="39" spans="1:13">
      <c r="A39" s="3" t="s">
        <v>210</v>
      </c>
      <c r="B39" s="3" t="s">
        <v>185</v>
      </c>
      <c r="C39" s="3" t="s">
        <v>211</v>
      </c>
      <c r="D39" s="3" t="s">
        <v>24</v>
      </c>
      <c r="E39" s="3" t="s">
        <v>212</v>
      </c>
      <c r="F39" s="3" t="s">
        <v>213</v>
      </c>
      <c r="G39" s="3" t="s">
        <v>214</v>
      </c>
      <c r="H39" s="3" t="s">
        <v>46</v>
      </c>
      <c r="I39" s="3"/>
      <c r="J39" s="3"/>
      <c r="K39" s="3"/>
      <c r="L39" s="3"/>
      <c r="M39" s="3"/>
    </row>
    <row r="40" spans="1:13">
      <c r="A40" s="3" t="s">
        <v>215</v>
      </c>
      <c r="B40" s="3" t="s">
        <v>216</v>
      </c>
      <c r="C40" s="3" t="s">
        <v>217</v>
      </c>
      <c r="D40" s="3" t="s">
        <v>24</v>
      </c>
      <c r="E40" s="3" t="s">
        <v>207</v>
      </c>
      <c r="F40" s="3" t="s">
        <v>218</v>
      </c>
      <c r="G40" s="3" t="s">
        <v>219</v>
      </c>
      <c r="H40" s="3" t="s">
        <v>46</v>
      </c>
      <c r="I40" s="3"/>
      <c r="J40" s="3"/>
      <c r="K40" s="3"/>
      <c r="L40" s="3"/>
      <c r="M40" s="3"/>
    </row>
    <row r="41" spans="1:13">
      <c r="A41" s="3" t="s">
        <v>220</v>
      </c>
      <c r="B41" s="3" t="s">
        <v>221</v>
      </c>
      <c r="C41" s="3" t="s">
        <v>222</v>
      </c>
      <c r="D41" s="3" t="s">
        <v>24</v>
      </c>
      <c r="E41" s="3" t="s">
        <v>223</v>
      </c>
      <c r="F41" s="3" t="s">
        <v>224</v>
      </c>
      <c r="G41" s="3" t="s">
        <v>225</v>
      </c>
      <c r="H41" s="3" t="s">
        <v>46</v>
      </c>
      <c r="I41" s="3"/>
      <c r="J41" s="3"/>
      <c r="K41" s="3"/>
      <c r="L41" s="3"/>
      <c r="M41" s="3"/>
    </row>
    <row r="42" spans="1:13">
      <c r="A42" s="3" t="s">
        <v>226</v>
      </c>
      <c r="B42" s="3" t="s">
        <v>221</v>
      </c>
      <c r="C42" s="3" t="s">
        <v>227</v>
      </c>
      <c r="D42" s="3" t="s">
        <v>32</v>
      </c>
      <c r="E42" s="3" t="s">
        <v>228</v>
      </c>
      <c r="F42" s="3" t="s">
        <v>229</v>
      </c>
      <c r="G42" s="3" t="s">
        <v>230</v>
      </c>
      <c r="H42" s="3" t="s">
        <v>46</v>
      </c>
      <c r="I42" s="3"/>
      <c r="J42" s="3"/>
      <c r="K42" s="3"/>
      <c r="L42" s="3"/>
      <c r="M42" s="3"/>
    </row>
    <row r="43" spans="1:13">
      <c r="A43" s="3" t="s">
        <v>231</v>
      </c>
      <c r="B43" s="3" t="s">
        <v>221</v>
      </c>
      <c r="C43" s="3" t="s">
        <v>232</v>
      </c>
      <c r="D43" s="3" t="s">
        <v>24</v>
      </c>
      <c r="E43" s="3" t="s">
        <v>233</v>
      </c>
      <c r="F43" s="3" t="s">
        <v>234</v>
      </c>
      <c r="G43" s="3" t="s">
        <v>235</v>
      </c>
      <c r="H43" s="3" t="s">
        <v>46</v>
      </c>
      <c r="I43" s="3"/>
      <c r="J43" s="3"/>
      <c r="K43" s="3"/>
      <c r="L43" s="3"/>
      <c r="M43" s="3"/>
    </row>
    <row r="44" spans="1:13">
      <c r="A44" s="3" t="s">
        <v>236</v>
      </c>
      <c r="B44" s="3" t="s">
        <v>221</v>
      </c>
      <c r="C44" s="3" t="s">
        <v>237</v>
      </c>
      <c r="D44" s="3" t="s">
        <v>24</v>
      </c>
      <c r="E44" s="3" t="s">
        <v>238</v>
      </c>
      <c r="F44" s="3" t="s">
        <v>239</v>
      </c>
      <c r="G44" s="3" t="s">
        <v>240</v>
      </c>
      <c r="H44" s="3" t="s">
        <v>46</v>
      </c>
      <c r="I44" s="3"/>
      <c r="J44" s="3"/>
      <c r="K44" s="3"/>
      <c r="L44" s="3"/>
      <c r="M44" s="3"/>
    </row>
    <row r="45" spans="1:13">
      <c r="A45" s="3" t="s">
        <v>241</v>
      </c>
      <c r="B45" s="3" t="s">
        <v>221</v>
      </c>
      <c r="C45" s="3" t="s">
        <v>242</v>
      </c>
      <c r="D45" s="3" t="s">
        <v>24</v>
      </c>
      <c r="E45" s="3" t="s">
        <v>243</v>
      </c>
      <c r="F45" s="3" t="s">
        <v>244</v>
      </c>
      <c r="G45" s="3" t="s">
        <v>245</v>
      </c>
      <c r="H45" s="3" t="s">
        <v>46</v>
      </c>
      <c r="I45" s="3"/>
      <c r="J45" s="3"/>
      <c r="K45" s="3"/>
      <c r="L45" s="3"/>
      <c r="M45" s="3"/>
    </row>
    <row r="46" spans="1:13">
      <c r="A46" s="3" t="s">
        <v>246</v>
      </c>
      <c r="B46" s="3" t="s">
        <v>247</v>
      </c>
      <c r="C46" s="3" t="s">
        <v>248</v>
      </c>
      <c r="D46" s="3" t="s">
        <v>24</v>
      </c>
      <c r="E46" s="3" t="s">
        <v>249</v>
      </c>
      <c r="F46" s="3" t="s">
        <v>250</v>
      </c>
      <c r="G46" s="3" t="s">
        <v>251</v>
      </c>
      <c r="H46" s="3" t="s">
        <v>46</v>
      </c>
      <c r="I46" s="3"/>
      <c r="J46" s="3"/>
      <c r="K46" s="3"/>
      <c r="L46" s="3"/>
      <c r="M46" s="3"/>
    </row>
    <row r="47" spans="1:13">
      <c r="A47" s="3" t="s">
        <v>252</v>
      </c>
      <c r="B47" s="3" t="s">
        <v>247</v>
      </c>
      <c r="C47" s="3" t="s">
        <v>253</v>
      </c>
      <c r="D47" s="3" t="s">
        <v>24</v>
      </c>
      <c r="E47" s="3" t="s">
        <v>254</v>
      </c>
      <c r="F47" s="3" t="s">
        <v>255</v>
      </c>
      <c r="G47" s="3" t="s">
        <v>256</v>
      </c>
      <c r="H47" s="3" t="s">
        <v>46</v>
      </c>
      <c r="I47" s="3"/>
      <c r="J47" s="3"/>
      <c r="K47" s="3"/>
      <c r="L47" s="3"/>
      <c r="M47" s="3"/>
    </row>
    <row r="48" spans="1:13">
      <c r="A48" s="3" t="s">
        <v>257</v>
      </c>
      <c r="B48" s="3" t="s">
        <v>258</v>
      </c>
      <c r="C48" s="3" t="s">
        <v>259</v>
      </c>
      <c r="D48" s="3" t="s">
        <v>24</v>
      </c>
      <c r="E48" s="3" t="s">
        <v>207</v>
      </c>
      <c r="F48" s="3" t="s">
        <v>260</v>
      </c>
      <c r="G48" s="3" t="s">
        <v>261</v>
      </c>
      <c r="H48" s="3" t="s">
        <v>46</v>
      </c>
      <c r="I48" s="3"/>
      <c r="J48" s="3"/>
      <c r="K48" s="3"/>
      <c r="L48" s="3"/>
      <c r="M48" s="3"/>
    </row>
    <row r="49" spans="1:13">
      <c r="A49" s="3" t="s">
        <v>262</v>
      </c>
      <c r="B49" s="3" t="s">
        <v>263</v>
      </c>
      <c r="C49" s="3" t="s">
        <v>264</v>
      </c>
      <c r="D49" s="3" t="s">
        <v>24</v>
      </c>
      <c r="E49" s="3" t="s">
        <v>265</v>
      </c>
      <c r="F49" s="3" t="s">
        <v>266</v>
      </c>
      <c r="G49" s="3" t="s">
        <v>267</v>
      </c>
      <c r="H49" s="3" t="s">
        <v>46</v>
      </c>
      <c r="I49" s="3"/>
      <c r="J49" s="3"/>
      <c r="K49" s="3"/>
      <c r="L49" s="3"/>
      <c r="M49" s="3"/>
    </row>
    <row r="50" spans="1:13">
      <c r="A50" s="3" t="s">
        <v>268</v>
      </c>
      <c r="B50" s="3" t="s">
        <v>269</v>
      </c>
      <c r="C50" s="3" t="s">
        <v>270</v>
      </c>
      <c r="D50" s="3" t="s">
        <v>24</v>
      </c>
      <c r="E50" s="3" t="s">
        <v>271</v>
      </c>
      <c r="F50" s="3" t="s">
        <v>272</v>
      </c>
      <c r="G50" s="3" t="s">
        <v>273</v>
      </c>
      <c r="H50" s="3" t="s">
        <v>46</v>
      </c>
      <c r="I50" s="3"/>
      <c r="J50" s="3"/>
      <c r="K50" s="3"/>
      <c r="L50" s="3"/>
      <c r="M50" s="3"/>
    </row>
  </sheetData>
  <autoFilter ref="A1:M5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"/>
  <sheetViews>
    <sheetView tabSelected="0" workbookViewId="0" showGridLines="true" showRowColHeaders="1">
      <pane ySplit="1" topLeftCell="A2" activePane="bottomLeft" state="frozen"/>
      <selection pane="bottomLeft" activeCell="A1" sqref="A1:L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s="1" customFormat="1">
      <c r="A1" s="4" t="s">
        <v>20</v>
      </c>
      <c r="B1" s="4" t="s">
        <v>274</v>
      </c>
      <c r="C1" s="4" t="s">
        <v>9</v>
      </c>
      <c r="D1" s="4" t="s">
        <v>275</v>
      </c>
      <c r="E1" s="4" t="s">
        <v>276</v>
      </c>
      <c r="F1" s="4" t="s">
        <v>277</v>
      </c>
      <c r="G1" s="4" t="s">
        <v>278</v>
      </c>
      <c r="H1" s="4" t="s">
        <v>279</v>
      </c>
      <c r="I1" s="4" t="s">
        <v>280</v>
      </c>
      <c r="J1" s="4" t="s">
        <v>15</v>
      </c>
      <c r="K1" s="4" t="s">
        <v>281</v>
      </c>
      <c r="L1" s="2" t="s">
        <v>282</v>
      </c>
    </row>
  </sheetData>
  <autoFilter ref="A1:L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1" sqref="A1:C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</cols>
  <sheetData>
    <row r="1" spans="1:3" s="1" customFormat="1">
      <c r="A1" s="4" t="s">
        <v>283</v>
      </c>
      <c r="B1" s="4" t="s">
        <v>284</v>
      </c>
      <c r="C1" s="2" t="s">
        <v>285</v>
      </c>
    </row>
    <row r="2" spans="1:3">
      <c r="A2" s="3" t="s">
        <v>286</v>
      </c>
      <c r="B2" s="3" t="s">
        <v>287</v>
      </c>
      <c r="C2" s="3" t="s">
        <v>288</v>
      </c>
    </row>
    <row r="3" spans="1:3">
      <c r="A3" s="3" t="s">
        <v>289</v>
      </c>
      <c r="B3" s="3" t="s">
        <v>290</v>
      </c>
      <c r="C3" s="3" t="s">
        <v>291</v>
      </c>
    </row>
    <row r="4" spans="1:3">
      <c r="A4" s="3" t="s">
        <v>292</v>
      </c>
      <c r="B4" s="3" t="s">
        <v>293</v>
      </c>
      <c r="C4" s="3" t="s">
        <v>294</v>
      </c>
    </row>
    <row r="5" spans="1:3">
      <c r="A5" s="3" t="s">
        <v>295</v>
      </c>
      <c r="B5" s="3" t="s">
        <v>296</v>
      </c>
      <c r="C5" s="3" t="s">
        <v>297</v>
      </c>
    </row>
    <row r="6" spans="1:3">
      <c r="A6" s="3" t="s">
        <v>298</v>
      </c>
      <c r="B6" s="3" t="s">
        <v>299</v>
      </c>
      <c r="C6" s="3" t="s">
        <v>300</v>
      </c>
    </row>
    <row r="7" spans="1:3">
      <c r="A7" s="3" t="s">
        <v>301</v>
      </c>
      <c r="B7" s="3" t="s">
        <v>302</v>
      </c>
      <c r="C7" s="3" t="s">
        <v>303</v>
      </c>
    </row>
    <row r="8" spans="1:3">
      <c r="A8" s="3" t="s">
        <v>221</v>
      </c>
      <c r="B8" s="3" t="s">
        <v>304</v>
      </c>
      <c r="C8" s="3" t="s">
        <v>305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Test Cases</vt:lpstr>
      <vt:lpstr>Defect Log</vt:lpstr>
      <vt:lpstr>Test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2026-08-14T11:44:40+02:00</dcterms:created>
  <dcterms:modified xsi:type="dcterms:W3CDTF">2026-08-14T11:44:40+02:00</dcterms:modified>
  <dc:title>Untitled Spreadsheet</dc:title>
  <dc:description/>
  <dc:subject/>
  <cp:keywords/>
  <cp:category/>
</cp:coreProperties>
</file>